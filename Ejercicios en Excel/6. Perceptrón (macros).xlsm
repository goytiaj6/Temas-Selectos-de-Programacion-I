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\Documents\Facultad\SEM2022-1\Temas Selectos de Programación I\"/>
    </mc:Choice>
  </mc:AlternateContent>
  <xr:revisionPtr revIDLastSave="0" documentId="13_ncr:1_{C201F35B-AD19-4CEA-AD6A-F822986A9D38}" xr6:coauthVersionLast="47" xr6:coauthVersionMax="47" xr10:uidLastSave="{00000000-0000-0000-0000-000000000000}"/>
  <bookViews>
    <workbookView xWindow="-120" yWindow="-120" windowWidth="20730" windowHeight="11280" xr2:uid="{407F121E-2D12-430C-A202-1853BFD0CC8D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1" l="1"/>
  <c r="O8" i="1" s="1"/>
  <c r="S6" i="1" s="1"/>
  <c r="S13" i="1" s="1"/>
  <c r="S8" i="1" l="1"/>
  <c r="S11" i="1" s="1"/>
  <c r="S7" i="1"/>
  <c r="S10" i="1" s="1"/>
</calcChain>
</file>

<file path=xl/sharedStrings.xml><?xml version="1.0" encoding="utf-8"?>
<sst xmlns="http://schemas.openxmlformats.org/spreadsheetml/2006/main" count="23" uniqueCount="20">
  <si>
    <t>PATRONES DE ENTRENAMIENTO</t>
  </si>
  <si>
    <t>Compuerta AND</t>
  </si>
  <si>
    <t>SALIDA                 D</t>
  </si>
  <si>
    <t>X1=</t>
  </si>
  <si>
    <t>X2=</t>
  </si>
  <si>
    <t>W1=</t>
  </si>
  <si>
    <t>W2=</t>
  </si>
  <si>
    <t>η=</t>
  </si>
  <si>
    <t>Y=</t>
  </si>
  <si>
    <t>D=</t>
  </si>
  <si>
    <t>θ=</t>
  </si>
  <si>
    <t>CALCULO DE ERROR</t>
  </si>
  <si>
    <t>δ = D -Y =</t>
  </si>
  <si>
    <t xml:space="preserve">Δ1 = ηδX1 = </t>
  </si>
  <si>
    <t xml:space="preserve">Δ2 = ηδX2 = </t>
  </si>
  <si>
    <t xml:space="preserve">W1 = W1 + Δ1 = </t>
  </si>
  <si>
    <t xml:space="preserve">W2 = W2 + Δ2 = </t>
  </si>
  <si>
    <t>θ = θ - ηδ =</t>
  </si>
  <si>
    <t xml:space="preserve"> </t>
  </si>
  <si>
    <t>ENTRADA                          X1           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</si>
</sst>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sz val="12"/>
      <color rgb="FF0070C0"/>
      <name val="Arial"/>
      <family val="2"/>
    </font>
    <font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9" fillId="2" borderId="5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right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right" vertical="center" wrapText="1"/>
    </xf>
    <xf numFmtId="0" fontId="4" fillId="0" borderId="7" xfId="0" applyFont="1" applyBorder="1" applyAlignment="1">
      <alignment horizontal="right" vertical="center" wrapText="1"/>
    </xf>
    <xf numFmtId="0" fontId="6" fillId="0" borderId="3" xfId="0" applyFont="1" applyBorder="1" applyAlignment="1">
      <alignment horizontal="right" vertical="center" wrapText="1"/>
    </xf>
    <xf numFmtId="0" fontId="9" fillId="0" borderId="17" xfId="0" applyFont="1" applyBorder="1" applyAlignment="1">
      <alignment horizontal="right" vertical="center" wrapText="1"/>
    </xf>
    <xf numFmtId="0" fontId="9" fillId="0" borderId="0" xfId="0" applyFont="1" applyBorder="1" applyAlignment="1">
      <alignment horizontal="right" vertical="center" wrapText="1"/>
    </xf>
    <xf numFmtId="0" fontId="7" fillId="0" borderId="17" xfId="0" applyFont="1" applyBorder="1" applyAlignment="1">
      <alignment horizontal="right" vertical="center" wrapText="1"/>
    </xf>
    <xf numFmtId="0" fontId="7" fillId="0" borderId="0" xfId="0" applyFont="1" applyBorder="1" applyAlignment="1">
      <alignment horizontal="right" vertical="center" wrapText="1"/>
    </xf>
    <xf numFmtId="0" fontId="9" fillId="2" borderId="2" xfId="0" applyFont="1" applyFill="1" applyBorder="1" applyAlignment="1">
      <alignment horizontal="right" vertical="center" wrapText="1"/>
    </xf>
    <xf numFmtId="0" fontId="9" fillId="2" borderId="3" xfId="0" applyFont="1" applyFill="1" applyBorder="1" applyAlignment="1">
      <alignment horizontal="right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7" fillId="0" borderId="6" xfId="0" applyFont="1" applyBorder="1" applyAlignment="1">
      <alignment horizontal="right" vertical="center" wrapText="1"/>
    </xf>
    <xf numFmtId="0" fontId="7" fillId="0" borderId="7" xfId="0" applyFont="1" applyBorder="1" applyAlignment="1">
      <alignment horizontal="right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10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96611</xdr:colOff>
      <xdr:row>8</xdr:row>
      <xdr:rowOff>9525</xdr:rowOff>
    </xdr:from>
    <xdr:to>
      <xdr:col>4</xdr:col>
      <xdr:colOff>276611</xdr:colOff>
      <xdr:row>8</xdr:row>
      <xdr:rowOff>189525</xdr:rowOff>
    </xdr:to>
    <xdr:sp macro="[0]!PATRON1" textlink="">
      <xdr:nvSpPr>
        <xdr:cNvPr id="2" name="Rectángulo 1">
          <a:extLst>
            <a:ext uri="{FF2B5EF4-FFF2-40B4-BE49-F238E27FC236}">
              <a16:creationId xmlns:a16="http://schemas.microsoft.com/office/drawing/2014/main" id="{B76E8EE7-D20E-4323-B2C7-749FB0D2E1F4}"/>
            </a:ext>
          </a:extLst>
        </xdr:cNvPr>
        <xdr:cNvSpPr>
          <a:spLocks noChangeAspect="1"/>
        </xdr:cNvSpPr>
      </xdr:nvSpPr>
      <xdr:spPr>
        <a:xfrm>
          <a:off x="3144611" y="1381125"/>
          <a:ext cx="180000" cy="18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&gt;</a:t>
          </a:r>
          <a:endParaRPr lang="es-MX" sz="1050" b="1"/>
        </a:p>
      </xdr:txBody>
    </xdr:sp>
    <xdr:clientData/>
  </xdr:twoCellAnchor>
  <xdr:twoCellAnchor>
    <xdr:from>
      <xdr:col>4</xdr:col>
      <xdr:colOff>96611</xdr:colOff>
      <xdr:row>9</xdr:row>
      <xdr:rowOff>9525</xdr:rowOff>
    </xdr:from>
    <xdr:to>
      <xdr:col>4</xdr:col>
      <xdr:colOff>276611</xdr:colOff>
      <xdr:row>9</xdr:row>
      <xdr:rowOff>189525</xdr:rowOff>
    </xdr:to>
    <xdr:sp macro="[0]!PATRON2" textlink="">
      <xdr:nvSpPr>
        <xdr:cNvPr id="6" name="Rectángulo 5">
          <a:extLst>
            <a:ext uri="{FF2B5EF4-FFF2-40B4-BE49-F238E27FC236}">
              <a16:creationId xmlns:a16="http://schemas.microsoft.com/office/drawing/2014/main" id="{D8214722-D877-407A-9CDF-AFECEFAF49D4}"/>
            </a:ext>
          </a:extLst>
        </xdr:cNvPr>
        <xdr:cNvSpPr>
          <a:spLocks noChangeAspect="1"/>
        </xdr:cNvSpPr>
      </xdr:nvSpPr>
      <xdr:spPr>
        <a:xfrm>
          <a:off x="3144611" y="1581150"/>
          <a:ext cx="180000" cy="18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&gt;</a:t>
          </a:r>
        </a:p>
      </xdr:txBody>
    </xdr:sp>
    <xdr:clientData/>
  </xdr:twoCellAnchor>
  <xdr:twoCellAnchor>
    <xdr:from>
      <xdr:col>4</xdr:col>
      <xdr:colOff>96611</xdr:colOff>
      <xdr:row>10</xdr:row>
      <xdr:rowOff>9525</xdr:rowOff>
    </xdr:from>
    <xdr:to>
      <xdr:col>4</xdr:col>
      <xdr:colOff>276611</xdr:colOff>
      <xdr:row>10</xdr:row>
      <xdr:rowOff>189525</xdr:rowOff>
    </xdr:to>
    <xdr:sp macro="[0]!PATRON3" textlink="">
      <xdr:nvSpPr>
        <xdr:cNvPr id="7" name="Rectángulo 6">
          <a:extLst>
            <a:ext uri="{FF2B5EF4-FFF2-40B4-BE49-F238E27FC236}">
              <a16:creationId xmlns:a16="http://schemas.microsoft.com/office/drawing/2014/main" id="{655F47F9-995A-4DFA-AE5B-3F1E87FF33BE}"/>
            </a:ext>
          </a:extLst>
        </xdr:cNvPr>
        <xdr:cNvSpPr>
          <a:spLocks noChangeAspect="1"/>
        </xdr:cNvSpPr>
      </xdr:nvSpPr>
      <xdr:spPr>
        <a:xfrm>
          <a:off x="3144611" y="1781175"/>
          <a:ext cx="180000" cy="18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&gt;</a:t>
          </a:r>
        </a:p>
      </xdr:txBody>
    </xdr:sp>
    <xdr:clientData/>
  </xdr:twoCellAnchor>
  <xdr:twoCellAnchor>
    <xdr:from>
      <xdr:col>4</xdr:col>
      <xdr:colOff>96611</xdr:colOff>
      <xdr:row>11</xdr:row>
      <xdr:rowOff>9525</xdr:rowOff>
    </xdr:from>
    <xdr:to>
      <xdr:col>4</xdr:col>
      <xdr:colOff>276611</xdr:colOff>
      <xdr:row>11</xdr:row>
      <xdr:rowOff>189525</xdr:rowOff>
    </xdr:to>
    <xdr:sp macro="[0]!PATRON4" textlink="">
      <xdr:nvSpPr>
        <xdr:cNvPr id="8" name="Rectángulo 7">
          <a:extLst>
            <a:ext uri="{FF2B5EF4-FFF2-40B4-BE49-F238E27FC236}">
              <a16:creationId xmlns:a16="http://schemas.microsoft.com/office/drawing/2014/main" id="{B8A2CA6E-9B2C-45D3-B7CF-72C7993722F7}"/>
            </a:ext>
          </a:extLst>
        </xdr:cNvPr>
        <xdr:cNvSpPr>
          <a:spLocks noChangeAspect="1"/>
        </xdr:cNvSpPr>
      </xdr:nvSpPr>
      <xdr:spPr>
        <a:xfrm>
          <a:off x="3144611" y="1981200"/>
          <a:ext cx="180000" cy="18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&gt;</a:t>
          </a:r>
        </a:p>
      </xdr:txBody>
    </xdr:sp>
    <xdr:clientData/>
  </xdr:twoCellAnchor>
  <xdr:twoCellAnchor>
    <xdr:from>
      <xdr:col>7</xdr:col>
      <xdr:colOff>9525</xdr:colOff>
      <xdr:row>6</xdr:row>
      <xdr:rowOff>0</xdr:rowOff>
    </xdr:from>
    <xdr:to>
      <xdr:col>10</xdr:col>
      <xdr:colOff>88429</xdr:colOff>
      <xdr:row>6</xdr:row>
      <xdr:rowOff>88428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D117C08A-5C8C-4B31-AAF5-2628D9267320}"/>
            </a:ext>
          </a:extLst>
        </xdr:cNvPr>
        <xdr:cNvCxnSpPr>
          <a:endCxn id="9" idx="1"/>
        </xdr:cNvCxnSpPr>
      </xdr:nvCxnSpPr>
      <xdr:spPr>
        <a:xfrm>
          <a:off x="5343525" y="990600"/>
          <a:ext cx="2364904" cy="8842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9</xdr:row>
      <xdr:rowOff>108818</xdr:rowOff>
    </xdr:from>
    <xdr:to>
      <xdr:col>10</xdr:col>
      <xdr:colOff>88429</xdr:colOff>
      <xdr:row>10</xdr:row>
      <xdr:rowOff>2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ECFA18AE-6FA4-4180-A827-8CAC06D889B0}"/>
            </a:ext>
          </a:extLst>
        </xdr:cNvPr>
        <xdr:cNvCxnSpPr>
          <a:endCxn id="9" idx="3"/>
        </xdr:cNvCxnSpPr>
      </xdr:nvCxnSpPr>
      <xdr:spPr>
        <a:xfrm flipV="1">
          <a:off x="5334000" y="1689968"/>
          <a:ext cx="2374429" cy="10073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63899</xdr:colOff>
      <xdr:row>8</xdr:row>
      <xdr:rowOff>0</xdr:rowOff>
    </xdr:from>
    <xdr:to>
      <xdr:col>13</xdr:col>
      <xdr:colOff>457200</xdr:colOff>
      <xdr:row>8</xdr:row>
      <xdr:rowOff>3373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6F09AD70-3360-4036-9F1B-2592D231DE09}"/>
            </a:ext>
          </a:extLst>
        </xdr:cNvPr>
        <xdr:cNvCxnSpPr>
          <a:stCxn id="9" idx="6"/>
        </xdr:cNvCxnSpPr>
      </xdr:nvCxnSpPr>
      <xdr:spPr>
        <a:xfrm flipV="1">
          <a:off x="8445899" y="1381125"/>
          <a:ext cx="1155301" cy="337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</xdr:colOff>
      <xdr:row>1</xdr:row>
      <xdr:rowOff>19050</xdr:rowOff>
    </xdr:from>
    <xdr:to>
      <xdr:col>6</xdr:col>
      <xdr:colOff>752475</xdr:colOff>
      <xdr:row>2</xdr:row>
      <xdr:rowOff>180975</xdr:rowOff>
    </xdr:to>
    <xdr:sp macro="[0]!COPIAR" textlink="">
      <xdr:nvSpPr>
        <xdr:cNvPr id="27" name="Rectángulo 26">
          <a:extLst>
            <a:ext uri="{FF2B5EF4-FFF2-40B4-BE49-F238E27FC236}">
              <a16:creationId xmlns:a16="http://schemas.microsoft.com/office/drawing/2014/main" id="{C1C7282A-D67D-41E3-9E22-514D91A579B4}"/>
            </a:ext>
          </a:extLst>
        </xdr:cNvPr>
        <xdr:cNvSpPr/>
      </xdr:nvSpPr>
      <xdr:spPr>
        <a:xfrm>
          <a:off x="3819525" y="209550"/>
          <a:ext cx="1504950" cy="3524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latin typeface="Arial" panose="020B0604020202020204" pitchFamily="34" charset="0"/>
              <a:cs typeface="Arial" panose="020B0604020202020204" pitchFamily="34" charset="0"/>
            </a:rPr>
            <a:t>COPIAR</a:t>
          </a:r>
          <a:r>
            <a:rPr lang="es-MX" sz="1200" b="1" baseline="0">
              <a:latin typeface="Arial" panose="020B0604020202020204" pitchFamily="34" charset="0"/>
              <a:cs typeface="Arial" panose="020B0604020202020204" pitchFamily="34" charset="0"/>
            </a:rPr>
            <a:t> PESOS</a:t>
          </a:r>
          <a:endParaRPr lang="es-MX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9525</xdr:colOff>
      <xdr:row>1</xdr:row>
      <xdr:rowOff>19050</xdr:rowOff>
    </xdr:from>
    <xdr:to>
      <xdr:col>14</xdr:col>
      <xdr:colOff>752475</xdr:colOff>
      <xdr:row>2</xdr:row>
      <xdr:rowOff>180975</xdr:rowOff>
    </xdr:to>
    <xdr:sp macro="[0]!GUARDAR" textlink="">
      <xdr:nvSpPr>
        <xdr:cNvPr id="28" name="Rectángulo 27">
          <a:extLst>
            <a:ext uri="{FF2B5EF4-FFF2-40B4-BE49-F238E27FC236}">
              <a16:creationId xmlns:a16="http://schemas.microsoft.com/office/drawing/2014/main" id="{2D024E6B-8A5D-4A3F-8C8A-7169D941D055}"/>
            </a:ext>
          </a:extLst>
        </xdr:cNvPr>
        <xdr:cNvSpPr/>
      </xdr:nvSpPr>
      <xdr:spPr>
        <a:xfrm>
          <a:off x="9153525" y="209550"/>
          <a:ext cx="1504950" cy="3524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GUARDAR</a:t>
          </a:r>
          <a:r>
            <a:rPr lang="es-MX" sz="11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PESOS</a:t>
          </a:r>
          <a:endParaRPr lang="es-MX" sz="1100" b="1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130968</xdr:colOff>
      <xdr:row>20</xdr:row>
      <xdr:rowOff>4762</xdr:rowOff>
    </xdr:from>
    <xdr:ext cx="1402755" cy="46211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FC1B7F9F-0F5D-4B3E-9211-BF8D2A38BB0F}"/>
                </a:ext>
              </a:extLst>
            </xdr:cNvPr>
            <xdr:cNvSpPr txBox="1"/>
          </xdr:nvSpPr>
          <xdr:spPr>
            <a:xfrm>
              <a:off x="3178968" y="3969543"/>
              <a:ext cx="1402755" cy="4621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=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𝐹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nary>
                          <m:naryPr>
                            <m:chr m:val="∑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s-MX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=1</m:t>
                            </m:r>
                          </m:sub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𝑋</m:t>
                                </m:r>
                              </m:e>
                              <m:sub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𝜃</m:t>
                            </m:r>
                          </m:e>
                        </m:nary>
                      </m:e>
                    </m:d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FC1B7F9F-0F5D-4B3E-9211-BF8D2A38BB0F}"/>
                </a:ext>
              </a:extLst>
            </xdr:cNvPr>
            <xdr:cNvSpPr txBox="1"/>
          </xdr:nvSpPr>
          <xdr:spPr>
            <a:xfrm>
              <a:off x="3178968" y="3969543"/>
              <a:ext cx="1402755" cy="4621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𝑌 = 𝐹(∑_(𝑖=1)^𝑛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▒〖</a:t>
              </a:r>
              <a:r>
                <a:rPr lang="es-MX" sz="1100" b="0" i="0">
                  <a:latin typeface="Cambria Math" panose="02040503050406030204" pitchFamily="18" charset="0"/>
                </a:rPr>
                <a:t>𝑊_𝑖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𝑋_𝑖−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𝜃〗)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6</xdr:col>
      <xdr:colOff>330994</xdr:colOff>
      <xdr:row>20</xdr:row>
      <xdr:rowOff>26194</xdr:rowOff>
    </xdr:from>
    <xdr:ext cx="1263038" cy="37760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DAEC8BA4-B11E-4E23-88CB-65C53365C6E9}"/>
                </a:ext>
              </a:extLst>
            </xdr:cNvPr>
            <xdr:cNvSpPr txBox="1"/>
          </xdr:nvSpPr>
          <xdr:spPr>
            <a:xfrm>
              <a:off x="4902994" y="3990975"/>
              <a:ext cx="1263038" cy="377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𝐹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1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, 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𝑆𝑖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𝑥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 ≥0</m:t>
                              </m:r>
                            </m:e>
                          </m:mr>
                          <m:mr>
                            <m:e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0, 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𝑆𝑖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𝑥</m:t>
                              </m:r>
                              <m:r>
                                <a:rPr lang="es-MX" sz="1100" b="0" i="1">
                                  <a:latin typeface="Cambria Math" panose="02040503050406030204" pitchFamily="18" charset="0"/>
                                </a:rPr>
                                <m:t> &lt;0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DAEC8BA4-B11E-4E23-88CB-65C53365C6E9}"/>
                </a:ext>
              </a:extLst>
            </xdr:cNvPr>
            <xdr:cNvSpPr txBox="1"/>
          </xdr:nvSpPr>
          <xdr:spPr>
            <a:xfrm>
              <a:off x="4902994" y="3990975"/>
              <a:ext cx="1263038" cy="377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𝐹(𝑥)= {■8(1, 𝑆𝑖 𝑥 ≥0@0, 𝑆𝑖 𝑥 &lt;0)┤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8</xdr:col>
      <xdr:colOff>519112</xdr:colOff>
      <xdr:row>20</xdr:row>
      <xdr:rowOff>123825</xdr:rowOff>
    </xdr:from>
    <xdr:ext cx="865558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14AA4BC-CAC7-44D6-AA4F-95BB070993AF}"/>
                </a:ext>
              </a:extLst>
            </xdr:cNvPr>
            <xdr:cNvSpPr txBox="1"/>
          </xdr:nvSpPr>
          <xdr:spPr>
            <a:xfrm>
              <a:off x="6615112" y="4088606"/>
              <a:ext cx="8655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=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 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</m:d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14AA4BC-CAC7-44D6-AA4F-95BB070993AF}"/>
                </a:ext>
              </a:extLst>
            </xdr:cNvPr>
            <xdr:cNvSpPr txBox="1"/>
          </xdr:nvSpPr>
          <xdr:spPr>
            <a:xfrm>
              <a:off x="6615112" y="4088606"/>
              <a:ext cx="8655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 = </a:t>
              </a:r>
              <a:r>
                <a:rPr lang="es-MX" sz="1100" b="0" i="0">
                  <a:latin typeface="Cambria Math" panose="02040503050406030204" pitchFamily="18" charset="0"/>
                </a:rPr>
                <a:t>(𝐷 −𝑌)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10</xdr:col>
      <xdr:colOff>419099</xdr:colOff>
      <xdr:row>20</xdr:row>
      <xdr:rowOff>92869</xdr:rowOff>
    </xdr:from>
    <xdr:ext cx="653640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2710220B-A271-454F-B759-9004B780BCFF}"/>
                </a:ext>
              </a:extLst>
            </xdr:cNvPr>
            <xdr:cNvSpPr txBox="1"/>
          </xdr:nvSpPr>
          <xdr:spPr>
            <a:xfrm>
              <a:off x="8039099" y="4057650"/>
              <a:ext cx="65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 =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𝜂𝛿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2710220B-A271-454F-B759-9004B780BCFF}"/>
                </a:ext>
              </a:extLst>
            </xdr:cNvPr>
            <xdr:cNvSpPr txBox="1"/>
          </xdr:nvSpPr>
          <xdr:spPr>
            <a:xfrm>
              <a:off x="8039099" y="4057650"/>
              <a:ext cx="65364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∆_</a:t>
              </a:r>
              <a:r>
                <a:rPr lang="es-MX" sz="1100" b="0" i="0">
                  <a:latin typeface="Cambria Math" panose="02040503050406030204" pitchFamily="18" charset="0"/>
                </a:rPr>
                <a:t>𝑖  =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𝜂𝛿𝑋_𝑖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11</xdr:col>
      <xdr:colOff>678657</xdr:colOff>
      <xdr:row>20</xdr:row>
      <xdr:rowOff>107156</xdr:rowOff>
    </xdr:from>
    <xdr:ext cx="889282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1E09DFEB-6297-4D6E-AE04-9672643BF7E0}"/>
                </a:ext>
              </a:extLst>
            </xdr:cNvPr>
            <xdr:cNvSpPr txBox="1"/>
          </xdr:nvSpPr>
          <xdr:spPr>
            <a:xfrm>
              <a:off x="9060657" y="4071937"/>
              <a:ext cx="8892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𝑊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1E09DFEB-6297-4D6E-AE04-9672643BF7E0}"/>
                </a:ext>
              </a:extLst>
            </xdr:cNvPr>
            <xdr:cNvSpPr txBox="1"/>
          </xdr:nvSpPr>
          <xdr:spPr>
            <a:xfrm>
              <a:off x="9060657" y="4071937"/>
              <a:ext cx="8892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𝑊_𝑖= 𝑊_𝑖+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∆_</a:t>
              </a:r>
              <a:r>
                <a:rPr lang="es-MX" sz="1100" b="0" i="0">
                  <a:latin typeface="Cambria Math" panose="02040503050406030204" pitchFamily="18" charset="0"/>
                </a:rPr>
                <a:t>𝑖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13</xdr:col>
      <xdr:colOff>385763</xdr:colOff>
      <xdr:row>20</xdr:row>
      <xdr:rowOff>102394</xdr:rowOff>
    </xdr:from>
    <xdr:ext cx="830227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7E7121F1-C0B0-454F-866B-66A805BE69ED}"/>
                </a:ext>
              </a:extLst>
            </xdr:cNvPr>
            <xdr:cNvSpPr txBox="1"/>
          </xdr:nvSpPr>
          <xdr:spPr>
            <a:xfrm>
              <a:off x="10291763" y="4067175"/>
              <a:ext cx="8302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=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𝜂𝛿</m:t>
                    </m:r>
                  </m:oMath>
                </m:oMathPara>
              </a14:m>
              <a:endParaRPr lang="es-MX" sz="1100"/>
            </a:p>
          </xdr:txBody>
        </xdr:sp>
      </mc:Choice>
      <mc:Fallback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7E7121F1-C0B0-454F-866B-66A805BE69ED}"/>
                </a:ext>
              </a:extLst>
            </xdr:cNvPr>
            <xdr:cNvSpPr txBox="1"/>
          </xdr:nvSpPr>
          <xdr:spPr>
            <a:xfrm>
              <a:off x="10291763" y="4067175"/>
              <a:ext cx="8302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= 𝜃 − 𝜂𝛿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</xdr:col>
      <xdr:colOff>476249</xdr:colOff>
      <xdr:row>12</xdr:row>
      <xdr:rowOff>83344</xdr:rowOff>
    </xdr:from>
    <xdr:to>
      <xdr:col>3</xdr:col>
      <xdr:colOff>238124</xdr:colOff>
      <xdr:row>15</xdr:row>
      <xdr:rowOff>166688</xdr:rowOff>
    </xdr:to>
    <xdr:sp macro="[0]!LIMPIAR" textlink="">
      <xdr:nvSpPr>
        <xdr:cNvPr id="4" name="Elipse 3">
          <a:extLst>
            <a:ext uri="{FF2B5EF4-FFF2-40B4-BE49-F238E27FC236}">
              <a16:creationId xmlns:a16="http://schemas.microsoft.com/office/drawing/2014/main" id="{F5557C17-9BA3-40C2-8273-47E218E68101}"/>
            </a:ext>
          </a:extLst>
        </xdr:cNvPr>
        <xdr:cNvSpPr/>
      </xdr:nvSpPr>
      <xdr:spPr>
        <a:xfrm>
          <a:off x="1238249" y="2524125"/>
          <a:ext cx="1285875" cy="654844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LIMPIAR</a:t>
          </a:r>
        </a:p>
      </xdr:txBody>
    </xdr:sp>
    <xdr:clientData/>
  </xdr:twoCellAnchor>
  <xdr:twoCellAnchor>
    <xdr:from>
      <xdr:col>1</xdr:col>
      <xdr:colOff>450055</xdr:colOff>
      <xdr:row>16</xdr:row>
      <xdr:rowOff>128588</xdr:rowOff>
    </xdr:from>
    <xdr:to>
      <xdr:col>3</xdr:col>
      <xdr:colOff>211930</xdr:colOff>
      <xdr:row>20</xdr:row>
      <xdr:rowOff>21432</xdr:rowOff>
    </xdr:to>
    <xdr:sp macro="[0]!INICIALES" textlink="">
      <xdr:nvSpPr>
        <xdr:cNvPr id="21" name="Elipse 20">
          <a:extLst>
            <a:ext uri="{FF2B5EF4-FFF2-40B4-BE49-F238E27FC236}">
              <a16:creationId xmlns:a16="http://schemas.microsoft.com/office/drawing/2014/main" id="{EC645BBC-D624-4C8E-8E73-7BB9A7842546}"/>
            </a:ext>
          </a:extLst>
        </xdr:cNvPr>
        <xdr:cNvSpPr/>
      </xdr:nvSpPr>
      <xdr:spPr>
        <a:xfrm>
          <a:off x="1212055" y="3331369"/>
          <a:ext cx="1285875" cy="654844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INICIALES</a:t>
          </a:r>
        </a:p>
      </xdr:txBody>
    </xdr:sp>
    <xdr:clientData/>
  </xdr:twoCellAnchor>
  <xdr:twoCellAnchor>
    <xdr:from>
      <xdr:col>9</xdr:col>
      <xdr:colOff>723899</xdr:colOff>
      <xdr:row>5</xdr:row>
      <xdr:rowOff>171448</xdr:rowOff>
    </xdr:from>
    <xdr:to>
      <xdr:col>11</xdr:col>
      <xdr:colOff>63899</xdr:colOff>
      <xdr:row>10</xdr:row>
      <xdr:rowOff>25798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FD238616-1839-4009-A606-2DAFF3AB83B5}"/>
            </a:ext>
          </a:extLst>
        </xdr:cNvPr>
        <xdr:cNvSpPr/>
      </xdr:nvSpPr>
      <xdr:spPr>
        <a:xfrm>
          <a:off x="7581899" y="952498"/>
          <a:ext cx="864000" cy="86400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520D4-8287-4ABB-99EA-BD52BF16F2A0}">
  <sheetPr codeName="Hoja1"/>
  <dimension ref="B1:V25"/>
  <sheetViews>
    <sheetView tabSelected="1" zoomScale="80" zoomScaleNormal="80" workbookViewId="0">
      <selection activeCell="M2" sqref="M2:M3"/>
    </sheetView>
  </sheetViews>
  <sheetFormatPr baseColWidth="10" defaultRowHeight="15" x14ac:dyDescent="0.25"/>
  <cols>
    <col min="21" max="21" width="11.42578125" customWidth="1"/>
  </cols>
  <sheetData>
    <row r="1" spans="2:22" ht="15.75" thickBot="1" x14ac:dyDescent="0.3"/>
    <row r="2" spans="2:22" ht="15" customHeight="1" x14ac:dyDescent="0.25">
      <c r="H2" s="27" t="s">
        <v>5</v>
      </c>
      <c r="I2" s="29">
        <v>0.5</v>
      </c>
      <c r="J2" s="31" t="s">
        <v>6</v>
      </c>
      <c r="K2" s="29">
        <v>0.2</v>
      </c>
      <c r="L2" s="33" t="s">
        <v>10</v>
      </c>
      <c r="M2" s="25">
        <v>0.24</v>
      </c>
    </row>
    <row r="3" spans="2:22" ht="15.75" thickBot="1" x14ac:dyDescent="0.3">
      <c r="H3" s="28"/>
      <c r="I3" s="30"/>
      <c r="J3" s="32"/>
      <c r="K3" s="30"/>
      <c r="L3" s="32"/>
      <c r="M3" s="26"/>
    </row>
    <row r="4" spans="2:22" ht="15" customHeight="1" x14ac:dyDescent="0.25">
      <c r="B4" s="46" t="s">
        <v>0</v>
      </c>
      <c r="C4" s="47"/>
      <c r="D4" s="48"/>
      <c r="Q4" s="40" t="s">
        <v>11</v>
      </c>
      <c r="R4" s="41"/>
      <c r="S4" s="42"/>
    </row>
    <row r="5" spans="2:22" ht="15.75" thickBot="1" x14ac:dyDescent="0.3">
      <c r="B5" s="49"/>
      <c r="C5" s="50"/>
      <c r="D5" s="51"/>
      <c r="F5" s="1"/>
      <c r="G5" s="1"/>
      <c r="H5" s="1"/>
      <c r="I5" s="1"/>
      <c r="J5" s="1"/>
      <c r="K5" s="1"/>
      <c r="L5" s="24"/>
      <c r="M5" s="1"/>
      <c r="N5" s="1"/>
      <c r="O5" s="1"/>
      <c r="Q5" s="43"/>
      <c r="R5" s="44"/>
      <c r="S5" s="45"/>
    </row>
    <row r="6" spans="2:22" ht="16.5" thickBot="1" x14ac:dyDescent="0.3">
      <c r="B6" s="52" t="s">
        <v>1</v>
      </c>
      <c r="C6" s="53"/>
      <c r="D6" s="54"/>
      <c r="F6" s="11" t="s">
        <v>3</v>
      </c>
      <c r="G6" s="13"/>
      <c r="H6" s="12" t="s">
        <v>5</v>
      </c>
      <c r="I6" s="16"/>
      <c r="J6" s="1"/>
      <c r="K6" s="1"/>
      <c r="L6" s="1"/>
      <c r="M6" s="1"/>
      <c r="N6" s="23" t="s">
        <v>9</v>
      </c>
      <c r="O6" s="1"/>
      <c r="Q6" s="38" t="s">
        <v>12</v>
      </c>
      <c r="R6" s="39"/>
      <c r="S6" s="18">
        <f>O6-O8</f>
        <v>-1</v>
      </c>
    </row>
    <row r="7" spans="2:22" ht="15" customHeight="1" x14ac:dyDescent="0.25">
      <c r="B7" s="55" t="s">
        <v>19</v>
      </c>
      <c r="C7" s="56"/>
      <c r="D7" s="59" t="s">
        <v>2</v>
      </c>
      <c r="F7" s="1"/>
      <c r="G7" s="1"/>
      <c r="H7" s="1"/>
      <c r="I7" s="15"/>
      <c r="J7" s="1"/>
      <c r="K7" s="1"/>
      <c r="L7" s="1"/>
      <c r="M7" s="1"/>
      <c r="N7" s="1"/>
      <c r="O7" s="1"/>
      <c r="Q7" s="36" t="s">
        <v>13</v>
      </c>
      <c r="R7" s="37"/>
      <c r="S7" s="19">
        <f>K14*S6*G6</f>
        <v>0</v>
      </c>
    </row>
    <row r="8" spans="2:22" ht="15.75" customHeight="1" thickBot="1" x14ac:dyDescent="0.3">
      <c r="B8" s="57"/>
      <c r="C8" s="58"/>
      <c r="D8" s="60"/>
      <c r="F8" s="1"/>
      <c r="G8" s="1"/>
      <c r="H8" s="1"/>
      <c r="I8" s="1"/>
      <c r="J8" s="1"/>
      <c r="K8" s="1"/>
      <c r="L8" s="1"/>
      <c r="M8" s="1"/>
      <c r="N8" s="61" t="s">
        <v>8</v>
      </c>
      <c r="O8" s="62">
        <f>IF(L10&gt;=0,1,0)</f>
        <v>1</v>
      </c>
      <c r="Q8" s="34" t="s">
        <v>14</v>
      </c>
      <c r="R8" s="35"/>
      <c r="S8" s="20">
        <f>K14*S6*G11</f>
        <v>0</v>
      </c>
    </row>
    <row r="9" spans="2:22" ht="15.75" customHeight="1" x14ac:dyDescent="0.25">
      <c r="B9" s="3">
        <v>1</v>
      </c>
      <c r="C9" s="4">
        <v>1</v>
      </c>
      <c r="D9" s="5">
        <v>1</v>
      </c>
      <c r="F9" s="1"/>
      <c r="G9" s="1"/>
      <c r="H9" s="1"/>
      <c r="I9" s="1"/>
      <c r="J9" s="1"/>
      <c r="K9" s="1"/>
      <c r="L9" s="1"/>
      <c r="M9" s="1"/>
      <c r="N9" s="61"/>
      <c r="O9" s="62"/>
      <c r="Q9" s="36"/>
      <c r="R9" s="37"/>
      <c r="S9" s="19"/>
    </row>
    <row r="10" spans="2:22" ht="16.5" thickBot="1" x14ac:dyDescent="0.3">
      <c r="B10" s="6">
        <v>1</v>
      </c>
      <c r="C10" s="7">
        <v>0</v>
      </c>
      <c r="D10" s="5">
        <v>0</v>
      </c>
      <c r="F10" s="1"/>
      <c r="G10" s="1"/>
      <c r="H10" s="1"/>
      <c r="I10" s="1"/>
      <c r="J10" s="1"/>
      <c r="K10" s="1"/>
      <c r="L10" s="17">
        <f>(G6*I6)+(G11*I11)-K12</f>
        <v>0</v>
      </c>
      <c r="M10" s="1"/>
      <c r="N10" s="1"/>
      <c r="O10" s="1"/>
      <c r="Q10" s="36" t="s">
        <v>15</v>
      </c>
      <c r="R10" s="37"/>
      <c r="S10" s="21">
        <f>I6+S7</f>
        <v>0</v>
      </c>
    </row>
    <row r="11" spans="2:22" ht="16.5" customHeight="1" thickBot="1" x14ac:dyDescent="0.3">
      <c r="B11" s="6">
        <v>0</v>
      </c>
      <c r="C11" s="7">
        <v>1</v>
      </c>
      <c r="D11" s="5">
        <v>0</v>
      </c>
      <c r="F11" s="11" t="s">
        <v>4</v>
      </c>
      <c r="G11" s="13"/>
      <c r="H11" s="12" t="s">
        <v>6</v>
      </c>
      <c r="I11" s="13"/>
      <c r="J11" s="1"/>
      <c r="K11" s="1"/>
      <c r="L11" s="1"/>
      <c r="M11" s="1"/>
      <c r="N11" s="1"/>
      <c r="O11" s="1"/>
      <c r="Q11" s="36" t="s">
        <v>16</v>
      </c>
      <c r="R11" s="37"/>
      <c r="S11" s="21">
        <f>I11+S8</f>
        <v>0</v>
      </c>
    </row>
    <row r="12" spans="2:22" ht="16.5" thickBot="1" x14ac:dyDescent="0.3">
      <c r="B12" s="8">
        <v>0</v>
      </c>
      <c r="C12" s="9">
        <v>0</v>
      </c>
      <c r="D12" s="10">
        <v>0</v>
      </c>
      <c r="F12" s="1"/>
      <c r="G12" s="1"/>
      <c r="H12" s="1"/>
      <c r="I12" s="1"/>
      <c r="J12" s="12" t="s">
        <v>10</v>
      </c>
      <c r="K12" s="1"/>
      <c r="L12" s="1"/>
      <c r="M12" s="1"/>
      <c r="N12" s="1"/>
      <c r="O12" s="1"/>
      <c r="Q12" s="36"/>
      <c r="R12" s="37"/>
      <c r="S12" s="19"/>
      <c r="T12" s="14"/>
    </row>
    <row r="13" spans="2:22" ht="15" customHeight="1" thickBot="1" x14ac:dyDescent="0.3">
      <c r="F13" s="1"/>
      <c r="G13" s="1"/>
      <c r="H13" s="1"/>
      <c r="I13" s="1"/>
      <c r="J13" s="24"/>
      <c r="K13" s="1"/>
      <c r="L13" s="1"/>
      <c r="M13" s="1"/>
      <c r="N13" s="1"/>
      <c r="O13" s="1"/>
      <c r="Q13" s="63" t="s">
        <v>17</v>
      </c>
      <c r="R13" s="64"/>
      <c r="S13" s="22">
        <f>K12-(K14*S6)</f>
        <v>0.25</v>
      </c>
      <c r="T13" s="14"/>
    </row>
    <row r="14" spans="2:22" x14ac:dyDescent="0.25">
      <c r="F14" s="1"/>
      <c r="G14" s="1"/>
      <c r="H14" s="1"/>
      <c r="I14" s="1"/>
      <c r="J14" s="12" t="s">
        <v>7</v>
      </c>
      <c r="K14" s="1">
        <v>0.25</v>
      </c>
      <c r="L14" s="1"/>
      <c r="M14" s="1"/>
      <c r="N14" s="1"/>
      <c r="O14" s="1"/>
      <c r="Q14" s="14"/>
      <c r="R14" s="14"/>
      <c r="S14" s="14"/>
      <c r="T14" s="14"/>
      <c r="U14" s="14"/>
      <c r="V14" s="14"/>
    </row>
    <row r="15" spans="2:22" x14ac:dyDescent="0.25">
      <c r="B15" s="2"/>
      <c r="C15" s="2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2"/>
      <c r="S15" s="2"/>
      <c r="T15" s="2"/>
      <c r="U15" s="2"/>
      <c r="V15" s="14"/>
    </row>
    <row r="16" spans="2:22" x14ac:dyDescent="0.25">
      <c r="B16" s="2"/>
      <c r="C16" s="2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2"/>
      <c r="S16" s="2"/>
      <c r="T16" s="2"/>
      <c r="U16" s="2"/>
      <c r="V16" s="14"/>
    </row>
    <row r="17" spans="2:22" x14ac:dyDescent="0.25">
      <c r="B17" s="2"/>
      <c r="C17" s="2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2"/>
      <c r="S17" s="2"/>
      <c r="T17" s="2"/>
      <c r="U17" s="2"/>
      <c r="V17" s="14"/>
    </row>
    <row r="18" spans="2:22" x14ac:dyDescent="0.25"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</row>
    <row r="19" spans="2:22" x14ac:dyDescent="0.25"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R19" t="s">
        <v>18</v>
      </c>
    </row>
    <row r="20" spans="2:22" x14ac:dyDescent="0.25"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6"/>
    </row>
    <row r="21" spans="2:22" x14ac:dyDescent="0.25"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6"/>
    </row>
    <row r="22" spans="2:22" x14ac:dyDescent="0.25"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6"/>
    </row>
    <row r="23" spans="2:22" x14ac:dyDescent="0.25"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6"/>
    </row>
    <row r="24" spans="2:22" x14ac:dyDescent="0.25"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</row>
    <row r="25" spans="2:22" x14ac:dyDescent="0.25"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</row>
  </sheetData>
  <mergeCells count="21">
    <mergeCell ref="Q12:R12"/>
    <mergeCell ref="Q13:R13"/>
    <mergeCell ref="Q10:R10"/>
    <mergeCell ref="Q11:R11"/>
    <mergeCell ref="Q9:R9"/>
    <mergeCell ref="Q8:R8"/>
    <mergeCell ref="Q7:R7"/>
    <mergeCell ref="Q6:R6"/>
    <mergeCell ref="Q4:S5"/>
    <mergeCell ref="B4:D5"/>
    <mergeCell ref="B6:D6"/>
    <mergeCell ref="B7:C8"/>
    <mergeCell ref="D7:D8"/>
    <mergeCell ref="N8:N9"/>
    <mergeCell ref="O8:O9"/>
    <mergeCell ref="M2:M3"/>
    <mergeCell ref="H2:H3"/>
    <mergeCell ref="I2:I3"/>
    <mergeCell ref="J2:J3"/>
    <mergeCell ref="K2:K3"/>
    <mergeCell ref="L2:L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Goytia</dc:creator>
  <cp:lastModifiedBy>Jorge Goytia</cp:lastModifiedBy>
  <dcterms:created xsi:type="dcterms:W3CDTF">2021-11-26T21:21:51Z</dcterms:created>
  <dcterms:modified xsi:type="dcterms:W3CDTF">2021-12-02T09:38:37Z</dcterms:modified>
</cp:coreProperties>
</file>